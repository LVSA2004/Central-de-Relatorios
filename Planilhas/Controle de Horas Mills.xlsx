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shboard_Mills\Planilhas\"/>
    </mc:Choice>
  </mc:AlternateContent>
  <xr:revisionPtr revIDLastSave="0" documentId="13_ncr:1_{8A3B2AF7-D635-4984-8012-F8D53272F4C2}" xr6:coauthVersionLast="47" xr6:coauthVersionMax="47" xr10:uidLastSave="{00000000-0000-0000-0000-000000000000}"/>
  <bookViews>
    <workbookView xWindow="-120" yWindow="-120" windowWidth="29040" windowHeight="15720" xr2:uid="{75991212-9039-454B-B72D-B8B00125AE40}"/>
  </bookViews>
  <sheets>
    <sheet name="Outubro" sheetId="1" r:id="rId1"/>
    <sheet name="Novembro" sheetId="2" r:id="rId2"/>
    <sheet name="Dezembr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1" i="4"/>
  <c r="H11" i="4" s="1"/>
  <c r="D10" i="4"/>
  <c r="H10" i="4" s="1"/>
  <c r="D6" i="4"/>
  <c r="H6" i="4" s="1"/>
  <c r="G9" i="4"/>
  <c r="G8" i="4"/>
  <c r="G7" i="4"/>
  <c r="G5" i="4"/>
  <c r="G4" i="4"/>
  <c r="G3" i="4"/>
  <c r="G2" i="4"/>
  <c r="D9" i="4"/>
  <c r="D7" i="4"/>
  <c r="D8" i="4"/>
  <c r="G3" i="1"/>
  <c r="G4" i="1"/>
  <c r="G5" i="1"/>
  <c r="G6" i="1"/>
  <c r="G2" i="1"/>
  <c r="G7" i="1" s="1"/>
  <c r="D6" i="1"/>
  <c r="D5" i="1"/>
  <c r="D4" i="1"/>
  <c r="D3" i="1"/>
  <c r="D2" i="1"/>
  <c r="D5" i="4"/>
  <c r="D4" i="4"/>
  <c r="D3" i="4"/>
  <c r="D2" i="4"/>
  <c r="D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H7" i="1" l="1"/>
  <c r="H2" i="4"/>
  <c r="H5" i="4"/>
  <c r="H3" i="4"/>
  <c r="H4" i="4"/>
  <c r="H9" i="4"/>
  <c r="D12" i="4"/>
  <c r="H8" i="4"/>
  <c r="H7" i="4"/>
  <c r="D7" i="1"/>
  <c r="G22" i="2"/>
  <c r="D22" i="2"/>
  <c r="G12" i="4"/>
  <c r="H12" i="4" l="1"/>
  <c r="H22" i="2"/>
</calcChain>
</file>

<file path=xl/sharedStrings.xml><?xml version="1.0" encoding="utf-8"?>
<sst xmlns="http://schemas.openxmlformats.org/spreadsheetml/2006/main" count="134" uniqueCount="68">
  <si>
    <t>Total</t>
  </si>
  <si>
    <t>Atividade</t>
  </si>
  <si>
    <t>IMPORTANTE</t>
  </si>
  <si>
    <t>Dia</t>
  </si>
  <si>
    <t>Monitoramento dos processos</t>
  </si>
  <si>
    <t>31/10</t>
  </si>
  <si>
    <t>30/10</t>
  </si>
  <si>
    <t>03/11</t>
  </si>
  <si>
    <t>04/11</t>
  </si>
  <si>
    <t>04/12</t>
  </si>
  <si>
    <t>05/11</t>
  </si>
  <si>
    <t>06/11</t>
  </si>
  <si>
    <t>07/11</t>
  </si>
  <si>
    <t>10/11</t>
  </si>
  <si>
    <t>11/11</t>
  </si>
  <si>
    <t>12/11</t>
  </si>
  <si>
    <t>13/11</t>
  </si>
  <si>
    <t>14/11</t>
  </si>
  <si>
    <t>17/11</t>
  </si>
  <si>
    <t>18/11</t>
  </si>
  <si>
    <t>19/11</t>
  </si>
  <si>
    <t>20/11</t>
  </si>
  <si>
    <t>21/11</t>
  </si>
  <si>
    <t>24/11</t>
  </si>
  <si>
    <t>25/11</t>
  </si>
  <si>
    <t>26/11</t>
  </si>
  <si>
    <t>27/11</t>
  </si>
  <si>
    <t>28/11</t>
  </si>
  <si>
    <t>Reunião sobre o processo de nota e Boleto</t>
  </si>
  <si>
    <t>27/10</t>
  </si>
  <si>
    <t>28/10</t>
  </si>
  <si>
    <t>29/10</t>
  </si>
  <si>
    <t xml:space="preserve">Monitoramento dos processos </t>
  </si>
  <si>
    <t>Início do desenvolvimento das alterações na ZVF31</t>
  </si>
  <si>
    <t>Desenvolvimento das alterações na ZVF31                                                                        Acompanhamento do pedido QUO-118595-S3S7M2</t>
  </si>
  <si>
    <t>Fim do Desenvolvimento das alterações na ZVF31                                                                       Acompanhamento do pedido QUO-121973-B7Y6W0</t>
  </si>
  <si>
    <t>Desenvolvimento das alterações na J1BNFE</t>
  </si>
  <si>
    <t>Desenvolvimento das alterações na J1BNFE                                                                                                                         Acompanhamento dos pedidos QUO-122596-V9K1J4 e QUO-123392-Y8P9Q2</t>
  </si>
  <si>
    <t>Desenvolvimento das alterações na J1BNFE                                     Acompanhamento do pedido QUO-125023-T2T4K0</t>
  </si>
  <si>
    <t>Desenvolvimento das alterações na J1BNFE                                        Acompanhamento do pedido QUO-124112-G0Z6F6</t>
  </si>
  <si>
    <t>Inicio do desenvolvimento das alterações na VA22/PCL</t>
  </si>
  <si>
    <t xml:space="preserve"> Desenvolvimento das alterações na VA22/PCL</t>
  </si>
  <si>
    <t xml:space="preserve"> Desenvolvimento das alterações na VA22/PCL                                         Acompanhamento do pedido QUO-128225-D6P4K2</t>
  </si>
  <si>
    <t>Fim do  Desenvolvimento das alterações na VA22/PCL                        Acompanhamento do pedido QUO-128439-P5T6V3</t>
  </si>
  <si>
    <t>Alinhamento sobre nota de remessa                                                                                     Desenvolvimento das alterações na ZVF31</t>
  </si>
  <si>
    <t xml:space="preserve">Início do desenvolvimento das alterações na J1BNFE                                                  Reunião sobre a Nota de Remessa </t>
  </si>
  <si>
    <t>01/12</t>
  </si>
  <si>
    <t>02/12</t>
  </si>
  <si>
    <t>03/12</t>
  </si>
  <si>
    <t>Reunião de testes da J1BNFE                                                                                                       Início do desenvolvimento das correções na J1BNFE</t>
  </si>
  <si>
    <t>Desenvolvimento das correções na J1BNFE</t>
  </si>
  <si>
    <t>Fim do desenvolvimento das correções na J1BNFE</t>
  </si>
  <si>
    <t>Início - Monitoramento</t>
  </si>
  <si>
    <t>Fim - Monitoramento</t>
  </si>
  <si>
    <t>Início - Desenvolvimento</t>
  </si>
  <si>
    <t>Fim - Desenvolvimento</t>
  </si>
  <si>
    <t>Total - Monitoramento</t>
  </si>
  <si>
    <t>Total - Desenvolvimento</t>
  </si>
  <si>
    <t>05/12</t>
  </si>
  <si>
    <t>08/12</t>
  </si>
  <si>
    <t>09/12</t>
  </si>
  <si>
    <t>10/12</t>
  </si>
  <si>
    <t>11/12</t>
  </si>
  <si>
    <t>12/12</t>
  </si>
  <si>
    <t>Alterações na VA22 para o envio do código do cliente para o relatório enviado ao portal</t>
  </si>
  <si>
    <t>Testes em DEV da solução aplicada</t>
  </si>
  <si>
    <t>Soma</t>
  </si>
  <si>
    <t>Desconto Hora Almoço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</si>
</sst>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4" borderId="0" xfId="0" applyNumberFormat="1" applyFill="1" applyAlignment="1">
      <alignment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4" borderId="2" xfId="0" applyNumberFormat="1" applyFill="1" applyBorder="1" applyAlignment="1">
      <alignment horizontal="center" vertical="center" wrapText="1"/>
    </xf>
    <xf numFmtId="46" fontId="0" fillId="0" borderId="1" xfId="0" applyNumberFormat="1" applyBorder="1" applyAlignment="1">
      <alignment horizontal="center" wrapText="1"/>
    </xf>
    <xf numFmtId="46" fontId="0" fillId="0" borderId="0" xfId="0" applyNumberFormat="1" applyAlignment="1">
      <alignment horizontal="center" wrapText="1"/>
    </xf>
    <xf numFmtId="46" fontId="0" fillId="4" borderId="0" xfId="0" applyNumberFormat="1" applyFill="1" applyAlignment="1">
      <alignment horizontal="center" wrapText="1"/>
    </xf>
    <xf numFmtId="49" fontId="0" fillId="4" borderId="1" xfId="0" applyNumberFormat="1" applyFill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 applyAlignment="1">
      <alignment wrapText="1"/>
    </xf>
    <xf numFmtId="46" fontId="0" fillId="4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9EB7-DFC5-442D-BC98-994F4B3CAAEB}">
  <dimension ref="A1:K7"/>
  <sheetViews>
    <sheetView showGridLines="0" tabSelected="1" topLeftCell="D1" workbookViewId="0">
      <selection activeCell="H7" sqref="H7"/>
    </sheetView>
  </sheetViews>
  <sheetFormatPr defaultRowHeight="30" customHeight="1" x14ac:dyDescent="0.25"/>
  <cols>
    <col min="1" max="1" width="9.140625" style="2"/>
    <col min="2" max="2" width="28.140625" style="2" bestFit="1" customWidth="1"/>
    <col min="3" max="3" width="26.140625" style="2" bestFit="1" customWidth="1"/>
    <col min="4" max="4" width="27.7109375" style="2" bestFit="1" customWidth="1"/>
    <col min="5" max="5" width="30.140625" style="2" bestFit="1" customWidth="1"/>
    <col min="6" max="6" width="28" style="2" bestFit="1" customWidth="1"/>
    <col min="7" max="7" width="29.5703125" style="2" bestFit="1" customWidth="1"/>
    <col min="8" max="8" width="9.140625" style="2"/>
    <col min="9" max="9" width="59.7109375" style="2" customWidth="1"/>
    <col min="10" max="10" width="78.28515625" style="2" customWidth="1"/>
    <col min="11" max="16384" width="9.140625" style="2"/>
  </cols>
  <sheetData>
    <row r="1" spans="1:11" ht="30" customHeight="1" x14ac:dyDescent="0.25">
      <c r="A1" s="3" t="s">
        <v>3</v>
      </c>
      <c r="B1" s="3" t="s">
        <v>52</v>
      </c>
      <c r="C1" s="3" t="s">
        <v>53</v>
      </c>
      <c r="D1" s="3" t="s">
        <v>56</v>
      </c>
      <c r="E1" s="3" t="s">
        <v>54</v>
      </c>
      <c r="F1" s="3" t="s">
        <v>55</v>
      </c>
      <c r="G1" s="3" t="s">
        <v>57</v>
      </c>
      <c r="H1" s="3" t="s">
        <v>0</v>
      </c>
      <c r="I1" s="3" t="s">
        <v>1</v>
      </c>
      <c r="J1" s="4" t="s">
        <v>2</v>
      </c>
      <c r="K1" s="2" t="s">
        <v>67</v>
      </c>
    </row>
    <row r="2" spans="1:11" s="7" customFormat="1" ht="30" customHeight="1" x14ac:dyDescent="0.25">
      <c r="A2" s="12" t="s">
        <v>29</v>
      </c>
      <c r="B2" s="5">
        <v>0.33333333333333331</v>
      </c>
      <c r="C2" s="8">
        <v>0.54166666666666663</v>
      </c>
      <c r="D2" s="5">
        <f>(+C2-B2)</f>
        <v>0.20833333333333331</v>
      </c>
      <c r="E2" s="8">
        <v>0.54166666666666663</v>
      </c>
      <c r="F2" s="8">
        <v>0.70833333333333337</v>
      </c>
      <c r="G2" s="8">
        <f>+F2-E2</f>
        <v>0.16666666666666674</v>
      </c>
      <c r="H2" s="8">
        <f>(D2+G2)-K2</f>
        <v>0.33333333333333337</v>
      </c>
      <c r="I2" s="1" t="s">
        <v>4</v>
      </c>
      <c r="J2" s="1" t="s">
        <v>28</v>
      </c>
      <c r="K2" s="24">
        <v>4.1666666666666664E-2</v>
      </c>
    </row>
    <row r="3" spans="1:11" s="7" customFormat="1" ht="30" customHeight="1" x14ac:dyDescent="0.25">
      <c r="A3" s="12" t="s">
        <v>30</v>
      </c>
      <c r="B3" s="5">
        <v>0.33333333333333331</v>
      </c>
      <c r="C3" s="8">
        <v>0.54166666666666663</v>
      </c>
      <c r="D3" s="5">
        <f>(+C3-B3)</f>
        <v>0.20833333333333331</v>
      </c>
      <c r="E3" s="8">
        <v>0.54166666666666663</v>
      </c>
      <c r="F3" s="8">
        <v>0.70833333333333337</v>
      </c>
      <c r="G3" s="8">
        <f t="shared" ref="G3:G6" si="0">+F3-E3</f>
        <v>0.16666666666666674</v>
      </c>
      <c r="H3" s="8">
        <f>(D3+G3)-K2</f>
        <v>0.33333333333333337</v>
      </c>
      <c r="I3" s="1" t="s">
        <v>32</v>
      </c>
      <c r="J3" s="1" t="s">
        <v>33</v>
      </c>
    </row>
    <row r="4" spans="1:11" s="7" customFormat="1" ht="30" customHeight="1" x14ac:dyDescent="0.25">
      <c r="A4" s="12" t="s">
        <v>31</v>
      </c>
      <c r="B4" s="5">
        <v>0.33333333333333331</v>
      </c>
      <c r="C4" s="8">
        <v>0.54166666666666663</v>
      </c>
      <c r="D4" s="5">
        <f>(+C4-B4)</f>
        <v>0.20833333333333331</v>
      </c>
      <c r="E4" s="8">
        <v>0.54166666666666663</v>
      </c>
      <c r="F4" s="8">
        <v>0.70833333333333337</v>
      </c>
      <c r="G4" s="8">
        <f t="shared" si="0"/>
        <v>0.16666666666666674</v>
      </c>
      <c r="H4" s="8">
        <f>(D4+G4)-K2</f>
        <v>0.33333333333333337</v>
      </c>
      <c r="I4" s="1" t="s">
        <v>4</v>
      </c>
      <c r="J4" s="1" t="s">
        <v>44</v>
      </c>
    </row>
    <row r="5" spans="1:11" ht="30" customHeight="1" x14ac:dyDescent="0.25">
      <c r="A5" s="12" t="s">
        <v>6</v>
      </c>
      <c r="B5" s="5">
        <v>0.33333333333333331</v>
      </c>
      <c r="C5" s="8">
        <v>0.54166666666666663</v>
      </c>
      <c r="D5" s="5">
        <f>(+C5-B5)</f>
        <v>0.20833333333333331</v>
      </c>
      <c r="E5" s="8">
        <v>0.54166666666666663</v>
      </c>
      <c r="F5" s="8">
        <v>0.70833333333333337</v>
      </c>
      <c r="G5" s="8">
        <f t="shared" si="0"/>
        <v>0.16666666666666674</v>
      </c>
      <c r="H5" s="8">
        <f>(D5+G5)-K2</f>
        <v>0.33333333333333337</v>
      </c>
      <c r="I5" s="1" t="s">
        <v>4</v>
      </c>
      <c r="J5" s="1" t="s">
        <v>34</v>
      </c>
    </row>
    <row r="6" spans="1:11" ht="30" customHeight="1" x14ac:dyDescent="0.25">
      <c r="A6" s="12" t="s">
        <v>5</v>
      </c>
      <c r="B6" s="5">
        <v>0.33333333333333331</v>
      </c>
      <c r="C6" s="8">
        <v>0.54166666666666663</v>
      </c>
      <c r="D6" s="5">
        <f>(+C6-B6)</f>
        <v>0.20833333333333331</v>
      </c>
      <c r="E6" s="8">
        <v>0.54166666666666663</v>
      </c>
      <c r="F6" s="8">
        <v>0.70833333333333337</v>
      </c>
      <c r="G6" s="8">
        <f t="shared" si="0"/>
        <v>0.16666666666666674</v>
      </c>
      <c r="H6" s="8">
        <f>(D6+G6)-K2</f>
        <v>0.33333333333333337</v>
      </c>
      <c r="I6" s="1" t="s">
        <v>4</v>
      </c>
      <c r="J6" s="1" t="s">
        <v>35</v>
      </c>
    </row>
    <row r="7" spans="1:11" ht="30" customHeight="1" x14ac:dyDescent="0.25">
      <c r="A7" s="22" t="s">
        <v>66</v>
      </c>
      <c r="C7" s="6"/>
      <c r="D7" s="18">
        <f>SUM(D2:D6)</f>
        <v>1.0416666666666665</v>
      </c>
      <c r="E7" s="19"/>
      <c r="F7" s="19"/>
      <c r="G7" s="18">
        <f>SUM(G2:G6)</f>
        <v>0.8333333333333337</v>
      </c>
      <c r="H7" s="18">
        <f>SUM(H2:H6)</f>
        <v>1.666666666666667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5534-2C1D-4968-BE5D-8DF89B71CC62}">
  <dimension ref="A1:K60"/>
  <sheetViews>
    <sheetView topLeftCell="C1" zoomScaleNormal="100" workbookViewId="0">
      <selection activeCell="K2" sqref="K1:K2"/>
    </sheetView>
  </sheetViews>
  <sheetFormatPr defaultRowHeight="30" customHeight="1" x14ac:dyDescent="0.25"/>
  <cols>
    <col min="1" max="1" width="9.140625" style="16"/>
    <col min="2" max="2" width="28.140625" style="2" bestFit="1" customWidth="1"/>
    <col min="3" max="3" width="26.140625" style="2" bestFit="1" customWidth="1"/>
    <col min="4" max="4" width="27.7109375" style="2" bestFit="1" customWidth="1"/>
    <col min="5" max="5" width="30.140625" style="2" bestFit="1" customWidth="1"/>
    <col min="6" max="6" width="28" style="2" bestFit="1" customWidth="1"/>
    <col min="7" max="7" width="29.5703125" style="2" bestFit="1" customWidth="1"/>
    <col min="8" max="8" width="9.140625" style="2"/>
    <col min="9" max="9" width="59.7109375" style="2" customWidth="1"/>
    <col min="10" max="10" width="68.5703125" style="2" bestFit="1" customWidth="1"/>
    <col min="11" max="16384" width="9.140625" style="2"/>
  </cols>
  <sheetData>
    <row r="1" spans="1:11" ht="30" customHeight="1" x14ac:dyDescent="0.25">
      <c r="A1" s="14" t="s">
        <v>3</v>
      </c>
      <c r="B1" s="3" t="s">
        <v>52</v>
      </c>
      <c r="C1" s="3" t="s">
        <v>53</v>
      </c>
      <c r="D1" s="3" t="s">
        <v>56</v>
      </c>
      <c r="E1" s="3" t="s">
        <v>54</v>
      </c>
      <c r="F1" s="3" t="s">
        <v>55</v>
      </c>
      <c r="G1" s="3" t="s">
        <v>57</v>
      </c>
      <c r="H1" s="3" t="s">
        <v>0</v>
      </c>
      <c r="I1" s="3" t="s">
        <v>1</v>
      </c>
      <c r="J1" s="4" t="s">
        <v>2</v>
      </c>
      <c r="K1" s="2" t="s">
        <v>67</v>
      </c>
    </row>
    <row r="2" spans="1:11" ht="30" customHeight="1" x14ac:dyDescent="0.25">
      <c r="A2" s="15" t="s">
        <v>7</v>
      </c>
      <c r="B2" s="8">
        <v>0.33333333333333331</v>
      </c>
      <c r="C2" s="8">
        <v>0.54166666666666663</v>
      </c>
      <c r="D2" s="8">
        <f>+C2-B2</f>
        <v>0.20833333333333331</v>
      </c>
      <c r="E2" s="8">
        <v>0.54166666666666663</v>
      </c>
      <c r="F2" s="8">
        <v>0.70833333333333337</v>
      </c>
      <c r="G2" s="8">
        <f>+F2-E2</f>
        <v>0.16666666666666674</v>
      </c>
      <c r="H2" s="8">
        <f>(D2+G2)-K2</f>
        <v>0.33333333333333337</v>
      </c>
      <c r="I2" s="1" t="s">
        <v>4</v>
      </c>
      <c r="J2" s="9" t="s">
        <v>45</v>
      </c>
      <c r="K2" s="24">
        <v>4.1666666666666664E-2</v>
      </c>
    </row>
    <row r="3" spans="1:11" ht="30" customHeight="1" x14ac:dyDescent="0.25">
      <c r="A3" s="15" t="s">
        <v>8</v>
      </c>
      <c r="B3" s="8">
        <v>0.5625</v>
      </c>
      <c r="C3" s="8">
        <v>0.70833333333333337</v>
      </c>
      <c r="D3" s="8">
        <f t="shared" ref="D3:D21" si="0">+C3-B3</f>
        <v>0.14583333333333337</v>
      </c>
      <c r="E3" s="8">
        <v>0.33333333333333331</v>
      </c>
      <c r="F3" s="8">
        <v>0.5625</v>
      </c>
      <c r="G3" s="8">
        <f t="shared" ref="G3:G21" si="1">+F3-E3</f>
        <v>0.22916666666666669</v>
      </c>
      <c r="H3" s="8">
        <f>(D3+G3)-K2</f>
        <v>0.33333333333333337</v>
      </c>
      <c r="I3" s="1" t="s">
        <v>4</v>
      </c>
      <c r="J3" s="1" t="s">
        <v>37</v>
      </c>
    </row>
    <row r="4" spans="1:11" ht="30" customHeight="1" x14ac:dyDescent="0.25">
      <c r="A4" s="15" t="s">
        <v>10</v>
      </c>
      <c r="B4" s="8">
        <v>0.51388888888888884</v>
      </c>
      <c r="C4" s="8">
        <v>0.70833333333333337</v>
      </c>
      <c r="D4" s="8">
        <f t="shared" si="0"/>
        <v>0.19444444444444453</v>
      </c>
      <c r="E4" s="8">
        <v>0.33333333333333331</v>
      </c>
      <c r="F4" s="8">
        <v>0.51388888888888884</v>
      </c>
      <c r="G4" s="8">
        <f t="shared" si="1"/>
        <v>0.18055555555555552</v>
      </c>
      <c r="H4" s="8">
        <f>(D4+G4)-K2</f>
        <v>0.33333333333333337</v>
      </c>
      <c r="I4" s="1" t="s">
        <v>4</v>
      </c>
      <c r="J4" s="9" t="s">
        <v>36</v>
      </c>
    </row>
    <row r="5" spans="1:11" ht="30" customHeight="1" x14ac:dyDescent="0.25">
      <c r="A5" s="15" t="s">
        <v>11</v>
      </c>
      <c r="B5" s="8">
        <v>0.54166666666666663</v>
      </c>
      <c r="C5" s="8">
        <v>0.70833333333333337</v>
      </c>
      <c r="D5" s="8">
        <f t="shared" si="0"/>
        <v>0.16666666666666674</v>
      </c>
      <c r="E5" s="8">
        <v>0.33333333333333331</v>
      </c>
      <c r="F5" s="8">
        <v>0.54166666666666663</v>
      </c>
      <c r="G5" s="8">
        <f t="shared" si="1"/>
        <v>0.20833333333333331</v>
      </c>
      <c r="H5" s="8">
        <f>(D5+G5)-K2</f>
        <v>0.33333333333333337</v>
      </c>
      <c r="I5" s="1" t="s">
        <v>4</v>
      </c>
      <c r="J5" s="1" t="s">
        <v>38</v>
      </c>
    </row>
    <row r="6" spans="1:11" ht="30" customHeight="1" x14ac:dyDescent="0.25">
      <c r="A6" s="15" t="s">
        <v>12</v>
      </c>
      <c r="B6" s="8">
        <v>0.33333333333333331</v>
      </c>
      <c r="C6" s="8">
        <v>0.54166666666666663</v>
      </c>
      <c r="D6" s="8">
        <f>+C6-B6+(F6-E6)</f>
        <v>0.29166666666666669</v>
      </c>
      <c r="E6" s="8">
        <v>0.54166666666666663</v>
      </c>
      <c r="F6" s="8">
        <v>0.625</v>
      </c>
      <c r="G6" s="8">
        <f t="shared" si="1"/>
        <v>8.333333333333337E-2</v>
      </c>
      <c r="H6" s="8">
        <f>(D6+G6)-K2</f>
        <v>0.33333333333333337</v>
      </c>
      <c r="I6" s="1" t="s">
        <v>4</v>
      </c>
      <c r="J6" s="9" t="s">
        <v>36</v>
      </c>
    </row>
    <row r="7" spans="1:11" ht="30" customHeight="1" x14ac:dyDescent="0.25">
      <c r="A7" s="15" t="s">
        <v>13</v>
      </c>
      <c r="B7" s="8">
        <v>0.33333333333333331</v>
      </c>
      <c r="C7" s="8">
        <v>0.54166666666666663</v>
      </c>
      <c r="D7" s="8">
        <f t="shared" si="0"/>
        <v>0.20833333333333331</v>
      </c>
      <c r="E7" s="8">
        <v>0.54166666666666663</v>
      </c>
      <c r="F7" s="8">
        <v>0.70833333333333337</v>
      </c>
      <c r="G7" s="8">
        <f t="shared" si="1"/>
        <v>0.16666666666666674</v>
      </c>
      <c r="H7" s="8">
        <f>(D7+G7)-K2</f>
        <v>0.33333333333333337</v>
      </c>
      <c r="I7" s="1" t="s">
        <v>4</v>
      </c>
      <c r="J7" s="1" t="s">
        <v>39</v>
      </c>
    </row>
    <row r="8" spans="1:11" ht="30" customHeight="1" x14ac:dyDescent="0.25">
      <c r="A8" s="15" t="s">
        <v>14</v>
      </c>
      <c r="B8" s="8">
        <v>0.33333333333333331</v>
      </c>
      <c r="C8" s="8">
        <v>0.54166666666666663</v>
      </c>
      <c r="D8" s="8">
        <f t="shared" si="0"/>
        <v>0.20833333333333331</v>
      </c>
      <c r="E8" s="8">
        <v>0.54166666666666663</v>
      </c>
      <c r="F8" s="8">
        <v>0.70833333333333337</v>
      </c>
      <c r="G8" s="8">
        <f t="shared" si="1"/>
        <v>0.16666666666666674</v>
      </c>
      <c r="H8" s="8">
        <f>(D8+G8)-K2</f>
        <v>0.33333333333333337</v>
      </c>
      <c r="I8" s="1" t="s">
        <v>4</v>
      </c>
      <c r="J8" s="9" t="s">
        <v>36</v>
      </c>
    </row>
    <row r="9" spans="1:11" ht="30" customHeight="1" x14ac:dyDescent="0.25">
      <c r="A9" s="15" t="s">
        <v>15</v>
      </c>
      <c r="B9" s="8">
        <v>0.33333333333333331</v>
      </c>
      <c r="C9" s="8">
        <v>0.54166666666666663</v>
      </c>
      <c r="D9" s="8">
        <f t="shared" si="0"/>
        <v>0.20833333333333331</v>
      </c>
      <c r="E9" s="8">
        <v>0.54166666666666663</v>
      </c>
      <c r="F9" s="8">
        <v>0.70833333333333337</v>
      </c>
      <c r="G9" s="8">
        <f t="shared" si="1"/>
        <v>0.16666666666666674</v>
      </c>
      <c r="H9" s="8">
        <f>(D9+G9)-K2</f>
        <v>0.33333333333333337</v>
      </c>
      <c r="I9" s="1" t="s">
        <v>4</v>
      </c>
      <c r="J9" s="9" t="s">
        <v>36</v>
      </c>
    </row>
    <row r="10" spans="1:11" ht="30" customHeight="1" x14ac:dyDescent="0.25">
      <c r="A10" s="15" t="s">
        <v>16</v>
      </c>
      <c r="B10" s="8">
        <v>0.33333333333333331</v>
      </c>
      <c r="C10" s="8">
        <v>0.70833333333333337</v>
      </c>
      <c r="D10" s="8">
        <f t="shared" si="0"/>
        <v>0.37500000000000006</v>
      </c>
      <c r="E10" s="8"/>
      <c r="F10" s="8"/>
      <c r="G10" s="8">
        <f t="shared" si="1"/>
        <v>0</v>
      </c>
      <c r="H10" s="8">
        <f>(D10+G10)-K2</f>
        <v>0.33333333333333337</v>
      </c>
      <c r="I10" s="1" t="s">
        <v>4</v>
      </c>
      <c r="J10" s="9"/>
    </row>
    <row r="11" spans="1:11" ht="30" customHeight="1" x14ac:dyDescent="0.25">
      <c r="A11" s="15" t="s">
        <v>17</v>
      </c>
      <c r="B11" s="8">
        <v>0.33333333333333331</v>
      </c>
      <c r="C11" s="8">
        <v>0.54166666666666663</v>
      </c>
      <c r="D11" s="8">
        <f t="shared" si="0"/>
        <v>0.20833333333333331</v>
      </c>
      <c r="E11" s="8">
        <v>0.54166666666666663</v>
      </c>
      <c r="F11" s="8">
        <v>0.70833333333333337</v>
      </c>
      <c r="G11" s="8">
        <f t="shared" si="1"/>
        <v>0.16666666666666674</v>
      </c>
      <c r="H11" s="8">
        <f>(D11+G11)-K2</f>
        <v>0.33333333333333337</v>
      </c>
      <c r="I11" s="1" t="s">
        <v>4</v>
      </c>
      <c r="J11" s="9" t="s">
        <v>36</v>
      </c>
    </row>
    <row r="12" spans="1:11" ht="30" customHeight="1" x14ac:dyDescent="0.25">
      <c r="A12" s="15" t="s">
        <v>18</v>
      </c>
      <c r="B12" s="8">
        <v>0.33333333333333331</v>
      </c>
      <c r="C12" s="8">
        <v>0.54166666666666663</v>
      </c>
      <c r="D12" s="8">
        <f t="shared" si="0"/>
        <v>0.20833333333333331</v>
      </c>
      <c r="E12" s="8">
        <v>0.54166666666666663</v>
      </c>
      <c r="F12" s="8">
        <v>0.70833333333333337</v>
      </c>
      <c r="G12" s="8">
        <f t="shared" si="1"/>
        <v>0.16666666666666674</v>
      </c>
      <c r="H12" s="8">
        <f>(D12+G12)-K2</f>
        <v>0.33333333333333337</v>
      </c>
      <c r="I12" s="1" t="s">
        <v>4</v>
      </c>
      <c r="J12" s="9" t="s">
        <v>36</v>
      </c>
    </row>
    <row r="13" spans="1:11" ht="30" customHeight="1" x14ac:dyDescent="0.25">
      <c r="A13" s="15" t="s">
        <v>19</v>
      </c>
      <c r="B13" s="8">
        <v>0.33333333333333331</v>
      </c>
      <c r="C13" s="8">
        <v>0.54166666666666663</v>
      </c>
      <c r="D13" s="8">
        <f t="shared" si="0"/>
        <v>0.20833333333333331</v>
      </c>
      <c r="E13" s="8">
        <v>0.54166666666666663</v>
      </c>
      <c r="F13" s="8">
        <v>0.70833333333333337</v>
      </c>
      <c r="G13" s="8">
        <f t="shared" si="1"/>
        <v>0.16666666666666674</v>
      </c>
      <c r="H13" s="8">
        <f>(D13+G13)-K2</f>
        <v>0.33333333333333337</v>
      </c>
      <c r="I13" s="1" t="s">
        <v>4</v>
      </c>
      <c r="J13" s="1" t="s">
        <v>40</v>
      </c>
    </row>
    <row r="14" spans="1:11" ht="30" customHeight="1" x14ac:dyDescent="0.25">
      <c r="A14" s="15" t="s">
        <v>20</v>
      </c>
      <c r="B14" s="8">
        <v>0.58333333333333337</v>
      </c>
      <c r="C14" s="8">
        <v>0.70833333333333337</v>
      </c>
      <c r="D14" s="8">
        <f t="shared" si="0"/>
        <v>0.125</v>
      </c>
      <c r="E14" s="8">
        <v>0.33333333333333331</v>
      </c>
      <c r="F14" s="8">
        <v>0.58333333333333337</v>
      </c>
      <c r="G14" s="8">
        <f t="shared" si="1"/>
        <v>0.25000000000000006</v>
      </c>
      <c r="H14" s="8">
        <f>(D14+G14)-K2</f>
        <v>0.33333333333333337</v>
      </c>
      <c r="I14" s="1" t="s">
        <v>4</v>
      </c>
      <c r="J14" s="9" t="s">
        <v>41</v>
      </c>
    </row>
    <row r="15" spans="1:11" ht="30" customHeight="1" x14ac:dyDescent="0.25">
      <c r="A15" s="15" t="s">
        <v>21</v>
      </c>
      <c r="B15" s="8">
        <v>0.33333333333333331</v>
      </c>
      <c r="C15" s="8">
        <v>0.54166666666666663</v>
      </c>
      <c r="D15" s="8">
        <f t="shared" si="0"/>
        <v>0.20833333333333331</v>
      </c>
      <c r="E15" s="8">
        <v>0.54166666666666663</v>
      </c>
      <c r="F15" s="8">
        <v>0.70833333333333337</v>
      </c>
      <c r="G15" s="8">
        <f t="shared" si="1"/>
        <v>0.16666666666666674</v>
      </c>
      <c r="H15" s="8">
        <f>(D15+G15)-K2</f>
        <v>0.33333333333333337</v>
      </c>
      <c r="I15" s="1" t="s">
        <v>4</v>
      </c>
      <c r="J15" s="9" t="s">
        <v>41</v>
      </c>
    </row>
    <row r="16" spans="1:11" ht="30" customHeight="1" x14ac:dyDescent="0.25">
      <c r="A16" s="15" t="s">
        <v>22</v>
      </c>
      <c r="B16" s="8">
        <v>0.33333333333333331</v>
      </c>
      <c r="C16" s="8">
        <v>0.54166666666666663</v>
      </c>
      <c r="D16" s="8">
        <f t="shared" si="0"/>
        <v>0.20833333333333331</v>
      </c>
      <c r="E16" s="8">
        <v>0.54166666666666663</v>
      </c>
      <c r="F16" s="8">
        <v>0.70833333333333337</v>
      </c>
      <c r="G16" s="8">
        <f t="shared" si="1"/>
        <v>0.16666666666666674</v>
      </c>
      <c r="H16" s="8">
        <f>(D16+G16)-K2</f>
        <v>0.33333333333333337</v>
      </c>
      <c r="I16" s="1" t="s">
        <v>4</v>
      </c>
      <c r="J16" s="9" t="s">
        <v>41</v>
      </c>
    </row>
    <row r="17" spans="1:10" ht="30" customHeight="1" x14ac:dyDescent="0.25">
      <c r="A17" s="15" t="s">
        <v>23</v>
      </c>
      <c r="B17" s="8">
        <v>0.33333333333333331</v>
      </c>
      <c r="C17" s="8">
        <v>0.54166666666666663</v>
      </c>
      <c r="D17" s="8">
        <f t="shared" si="0"/>
        <v>0.20833333333333331</v>
      </c>
      <c r="E17" s="8">
        <v>0.54166666666666663</v>
      </c>
      <c r="F17" s="8">
        <v>0.70833333333333337</v>
      </c>
      <c r="G17" s="8">
        <f t="shared" si="1"/>
        <v>0.16666666666666674</v>
      </c>
      <c r="H17" s="8">
        <f>(D17+G17)-K2</f>
        <v>0.33333333333333337</v>
      </c>
      <c r="I17" s="1" t="s">
        <v>4</v>
      </c>
      <c r="J17" s="1" t="s">
        <v>42</v>
      </c>
    </row>
    <row r="18" spans="1:10" ht="30" customHeight="1" x14ac:dyDescent="0.25">
      <c r="A18" s="15" t="s">
        <v>24</v>
      </c>
      <c r="B18" s="8">
        <v>0.33333333333333331</v>
      </c>
      <c r="C18" s="8">
        <v>0.54166666666666663</v>
      </c>
      <c r="D18" s="8">
        <f t="shared" si="0"/>
        <v>0.20833333333333331</v>
      </c>
      <c r="E18" s="8">
        <v>0.54166666666666663</v>
      </c>
      <c r="F18" s="8">
        <v>0.70833333333333337</v>
      </c>
      <c r="G18" s="8">
        <f t="shared" si="1"/>
        <v>0.16666666666666674</v>
      </c>
      <c r="H18" s="8">
        <f>(D18+G18)-K2</f>
        <v>0.33333333333333337</v>
      </c>
      <c r="I18" s="1" t="s">
        <v>4</v>
      </c>
      <c r="J18" s="1" t="s">
        <v>43</v>
      </c>
    </row>
    <row r="19" spans="1:10" ht="30" customHeight="1" x14ac:dyDescent="0.25">
      <c r="A19" s="15" t="s">
        <v>25</v>
      </c>
      <c r="B19" s="8">
        <v>0.33333333333333331</v>
      </c>
      <c r="C19" s="8">
        <v>0.70833333333333337</v>
      </c>
      <c r="D19" s="8">
        <f t="shared" si="0"/>
        <v>0.37500000000000006</v>
      </c>
      <c r="E19" s="8"/>
      <c r="F19" s="8"/>
      <c r="G19" s="8">
        <f t="shared" si="1"/>
        <v>0</v>
      </c>
      <c r="H19" s="8">
        <f>(D19+G19)-K2</f>
        <v>0.33333333333333337</v>
      </c>
      <c r="I19" s="1" t="s">
        <v>4</v>
      </c>
      <c r="J19" s="9"/>
    </row>
    <row r="20" spans="1:10" ht="30" customHeight="1" x14ac:dyDescent="0.25">
      <c r="A20" s="15" t="s">
        <v>26</v>
      </c>
      <c r="B20" s="8">
        <v>0.33333333333333331</v>
      </c>
      <c r="C20" s="8">
        <v>0.70833333333333337</v>
      </c>
      <c r="D20" s="8">
        <f t="shared" si="0"/>
        <v>0.37500000000000006</v>
      </c>
      <c r="E20" s="8"/>
      <c r="F20" s="8"/>
      <c r="G20" s="8">
        <f t="shared" si="1"/>
        <v>0</v>
      </c>
      <c r="H20" s="8">
        <f>(D20+G20)-K2</f>
        <v>0.33333333333333337</v>
      </c>
      <c r="I20" s="1" t="s">
        <v>4</v>
      </c>
      <c r="J20" s="9"/>
    </row>
    <row r="21" spans="1:10" ht="30" customHeight="1" x14ac:dyDescent="0.25">
      <c r="A21" s="15" t="s">
        <v>27</v>
      </c>
      <c r="B21" s="8">
        <v>0.33333333333333331</v>
      </c>
      <c r="C21" s="8">
        <v>0.5625</v>
      </c>
      <c r="D21" s="8">
        <f t="shared" si="0"/>
        <v>0.22916666666666669</v>
      </c>
      <c r="E21" s="8">
        <v>0.5625</v>
      </c>
      <c r="F21" s="8">
        <v>0.70833333333333337</v>
      </c>
      <c r="G21" s="8">
        <f t="shared" si="1"/>
        <v>0.14583333333333337</v>
      </c>
      <c r="H21" s="8">
        <f>(D21+G21)-K2</f>
        <v>0.33333333333333337</v>
      </c>
      <c r="I21" s="1" t="s">
        <v>4</v>
      </c>
      <c r="J21" s="9" t="s">
        <v>49</v>
      </c>
    </row>
    <row r="22" spans="1:10" ht="30" customHeight="1" x14ac:dyDescent="0.25">
      <c r="A22" s="23" t="s">
        <v>66</v>
      </c>
      <c r="B22" s="7"/>
      <c r="C22" s="7"/>
      <c r="D22" s="18">
        <f>SUM(D2:D21)</f>
        <v>4.5694444444444464</v>
      </c>
      <c r="E22" s="7"/>
      <c r="F22" s="7"/>
      <c r="G22" s="18">
        <f>SUM(G2:G21)</f>
        <v>2.9305555555555576</v>
      </c>
      <c r="H22" s="18">
        <f>SUM(H2:H21)</f>
        <v>6.6666666666666652</v>
      </c>
      <c r="I22" s="7"/>
      <c r="J22" s="7"/>
    </row>
    <row r="23" spans="1:10" ht="30" customHeight="1" x14ac:dyDescent="0.25">
      <c r="A23" s="13"/>
      <c r="B23" s="7"/>
      <c r="C23" s="7"/>
      <c r="D23" s="7"/>
      <c r="E23" s="7"/>
      <c r="F23" s="7"/>
      <c r="G23" s="7"/>
      <c r="H23" s="7"/>
      <c r="I23" s="7"/>
      <c r="J23" s="7"/>
    </row>
    <row r="24" spans="1:10" ht="30" customHeight="1" x14ac:dyDescent="0.25">
      <c r="A24" s="13"/>
      <c r="B24" s="7"/>
      <c r="C24" s="7"/>
      <c r="D24" s="7"/>
      <c r="E24" s="7"/>
      <c r="F24" s="7"/>
      <c r="G24" s="7"/>
      <c r="H24" s="7"/>
      <c r="I24" s="7"/>
      <c r="J24" s="7"/>
    </row>
    <row r="25" spans="1:10" ht="30" customHeight="1" x14ac:dyDescent="0.25">
      <c r="A25" s="13"/>
      <c r="B25" s="7"/>
      <c r="C25" s="7"/>
      <c r="D25" s="7"/>
      <c r="E25" s="7"/>
      <c r="F25" s="7"/>
      <c r="G25" s="7"/>
      <c r="H25" s="7"/>
      <c r="I25" s="7"/>
      <c r="J25" s="7"/>
    </row>
    <row r="26" spans="1:10" ht="30" customHeight="1" x14ac:dyDescent="0.25">
      <c r="A26" s="13"/>
      <c r="B26" s="7"/>
      <c r="C26" s="7"/>
      <c r="D26" s="7"/>
      <c r="E26" s="7"/>
      <c r="F26" s="7"/>
      <c r="G26" s="7"/>
      <c r="H26" s="7"/>
      <c r="I26" s="7"/>
      <c r="J26" s="7"/>
    </row>
    <row r="27" spans="1:10" ht="30" customHeight="1" x14ac:dyDescent="0.25">
      <c r="A27" s="13"/>
      <c r="B27" s="7"/>
      <c r="C27" s="7"/>
      <c r="D27" s="7"/>
      <c r="E27" s="7"/>
      <c r="F27" s="7"/>
      <c r="G27" s="7"/>
      <c r="H27" s="7"/>
      <c r="I27" s="7"/>
      <c r="J27" s="7"/>
    </row>
    <row r="28" spans="1:10" ht="30" customHeight="1" x14ac:dyDescent="0.25">
      <c r="A28" s="13"/>
      <c r="B28" s="7"/>
      <c r="C28" s="7"/>
      <c r="D28" s="7"/>
      <c r="E28" s="7"/>
      <c r="F28" s="7"/>
      <c r="G28" s="7"/>
      <c r="H28" s="7"/>
      <c r="I28" s="7"/>
      <c r="J28" s="7"/>
    </row>
    <row r="29" spans="1:10" ht="30" customHeight="1" x14ac:dyDescent="0.25">
      <c r="A29" s="13"/>
      <c r="B29" s="7"/>
      <c r="C29" s="7"/>
      <c r="D29" s="7"/>
      <c r="E29" s="7"/>
      <c r="F29" s="7"/>
      <c r="G29" s="7"/>
      <c r="H29" s="7"/>
      <c r="I29" s="7"/>
      <c r="J29" s="7"/>
    </row>
    <row r="30" spans="1:10" ht="30" customHeight="1" x14ac:dyDescent="0.25">
      <c r="A30" s="13"/>
      <c r="B30" s="7"/>
      <c r="C30" s="7"/>
      <c r="D30" s="7"/>
      <c r="E30" s="7"/>
      <c r="F30" s="7"/>
      <c r="G30" s="7"/>
      <c r="H30" s="7"/>
      <c r="I30" s="7"/>
      <c r="J30" s="7"/>
    </row>
    <row r="31" spans="1:10" ht="30" customHeight="1" x14ac:dyDescent="0.25">
      <c r="A31" s="13"/>
      <c r="B31" s="7"/>
      <c r="C31" s="7"/>
      <c r="D31" s="7"/>
      <c r="E31" s="7"/>
      <c r="F31" s="7"/>
      <c r="G31" s="7"/>
      <c r="H31" s="7"/>
      <c r="I31" s="7"/>
      <c r="J31" s="7"/>
    </row>
    <row r="32" spans="1:10" ht="30" customHeight="1" x14ac:dyDescent="0.25">
      <c r="A32" s="13"/>
      <c r="B32" s="7"/>
      <c r="C32" s="7"/>
      <c r="D32" s="7"/>
      <c r="E32" s="7"/>
      <c r="F32" s="7"/>
      <c r="G32" s="7"/>
      <c r="H32" s="7"/>
      <c r="I32" s="7"/>
      <c r="J32" s="7"/>
    </row>
    <row r="33" spans="1:10" ht="30" customHeight="1" x14ac:dyDescent="0.25">
      <c r="A33" s="13"/>
      <c r="B33" s="7"/>
      <c r="C33" s="7"/>
      <c r="D33" s="7"/>
      <c r="E33" s="7"/>
      <c r="F33" s="7"/>
      <c r="G33" s="7"/>
      <c r="H33" s="7"/>
      <c r="I33" s="7"/>
      <c r="J33" s="7"/>
    </row>
    <row r="34" spans="1:10" ht="30" customHeight="1" x14ac:dyDescent="0.25">
      <c r="A34" s="13"/>
      <c r="B34" s="7"/>
      <c r="C34" s="7"/>
      <c r="D34" s="7"/>
      <c r="E34" s="7"/>
      <c r="F34" s="7"/>
      <c r="G34" s="7"/>
      <c r="H34" s="7"/>
      <c r="I34" s="7"/>
      <c r="J34" s="7"/>
    </row>
    <row r="35" spans="1:10" ht="30" customHeight="1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</row>
    <row r="36" spans="1:10" ht="30" customHeight="1" x14ac:dyDescent="0.25">
      <c r="A36" s="13"/>
      <c r="B36" s="7"/>
      <c r="C36" s="7"/>
      <c r="D36" s="7"/>
      <c r="E36" s="7"/>
      <c r="F36" s="7"/>
      <c r="G36" s="7"/>
      <c r="H36" s="7"/>
      <c r="I36" s="7"/>
      <c r="J36" s="7"/>
    </row>
    <row r="37" spans="1:10" ht="30" customHeight="1" x14ac:dyDescent="0.25">
      <c r="A37" s="13"/>
      <c r="B37" s="7"/>
      <c r="C37" s="7"/>
      <c r="D37" s="7"/>
      <c r="E37" s="7"/>
      <c r="F37" s="7"/>
      <c r="G37" s="7"/>
      <c r="H37" s="7"/>
      <c r="I37" s="7"/>
      <c r="J37" s="7"/>
    </row>
    <row r="38" spans="1:10" ht="30" customHeight="1" x14ac:dyDescent="0.25">
      <c r="A38" s="13"/>
      <c r="B38" s="7"/>
      <c r="C38" s="7"/>
      <c r="D38" s="7"/>
      <c r="E38" s="7"/>
      <c r="F38" s="7"/>
      <c r="G38" s="7"/>
      <c r="H38" s="7"/>
      <c r="I38" s="7"/>
      <c r="J38" s="7"/>
    </row>
    <row r="39" spans="1:10" ht="30" customHeight="1" x14ac:dyDescent="0.25">
      <c r="A39" s="13"/>
      <c r="B39" s="7"/>
      <c r="C39" s="7"/>
      <c r="D39" s="7"/>
      <c r="E39" s="7"/>
      <c r="F39" s="7"/>
      <c r="G39" s="7"/>
      <c r="H39" s="7"/>
      <c r="I39" s="7"/>
      <c r="J39" s="7"/>
    </row>
    <row r="40" spans="1:10" ht="30" customHeight="1" x14ac:dyDescent="0.25">
      <c r="A40" s="13"/>
      <c r="B40" s="7"/>
      <c r="C40" s="7"/>
      <c r="D40" s="7"/>
      <c r="E40" s="7"/>
      <c r="F40" s="7"/>
      <c r="G40" s="7"/>
      <c r="H40" s="7"/>
      <c r="I40" s="7"/>
      <c r="J40" s="7"/>
    </row>
    <row r="41" spans="1:10" ht="30" customHeight="1" x14ac:dyDescent="0.25">
      <c r="A41" s="13"/>
      <c r="B41" s="7"/>
      <c r="C41" s="7"/>
      <c r="D41" s="7"/>
      <c r="E41" s="7"/>
      <c r="F41" s="7"/>
      <c r="G41" s="7"/>
      <c r="H41" s="7"/>
      <c r="I41" s="7"/>
      <c r="J41" s="7"/>
    </row>
    <row r="42" spans="1:10" ht="30" customHeight="1" x14ac:dyDescent="0.25">
      <c r="A42" s="13"/>
      <c r="B42" s="7"/>
      <c r="C42" s="7"/>
      <c r="D42" s="7"/>
      <c r="E42" s="7"/>
      <c r="F42" s="7"/>
      <c r="G42" s="7"/>
      <c r="H42" s="7"/>
      <c r="I42" s="7"/>
      <c r="J42" s="7"/>
    </row>
    <row r="43" spans="1:10" ht="30" customHeight="1" x14ac:dyDescent="0.25">
      <c r="A43" s="13"/>
      <c r="B43" s="7"/>
      <c r="C43" s="7"/>
      <c r="D43" s="7"/>
      <c r="E43" s="7"/>
      <c r="F43" s="7"/>
      <c r="G43" s="7"/>
      <c r="H43" s="7"/>
      <c r="I43" s="7"/>
      <c r="J43" s="7"/>
    </row>
    <row r="44" spans="1:10" ht="30" customHeight="1" x14ac:dyDescent="0.25">
      <c r="A44" s="13"/>
      <c r="B44" s="7"/>
      <c r="C44" s="7"/>
      <c r="D44" s="7"/>
      <c r="E44" s="7"/>
      <c r="F44" s="7"/>
      <c r="G44" s="7"/>
      <c r="H44" s="7"/>
      <c r="I44" s="7"/>
      <c r="J44" s="7"/>
    </row>
    <row r="45" spans="1:10" ht="30" customHeight="1" x14ac:dyDescent="0.25">
      <c r="A45" s="13"/>
      <c r="B45" s="7"/>
      <c r="C45" s="7"/>
      <c r="D45" s="7"/>
      <c r="E45" s="7"/>
      <c r="F45" s="7"/>
      <c r="G45" s="7"/>
      <c r="H45" s="7"/>
      <c r="I45" s="7"/>
      <c r="J45" s="7"/>
    </row>
    <row r="46" spans="1:10" ht="30" customHeight="1" x14ac:dyDescent="0.25">
      <c r="A46" s="13"/>
      <c r="B46" s="7"/>
      <c r="C46" s="7"/>
      <c r="D46" s="7"/>
      <c r="E46" s="7"/>
      <c r="F46" s="7"/>
      <c r="G46" s="7"/>
      <c r="H46" s="7"/>
      <c r="I46" s="7"/>
      <c r="J46" s="7"/>
    </row>
    <row r="47" spans="1:10" ht="30" customHeight="1" x14ac:dyDescent="0.25">
      <c r="A47" s="13"/>
      <c r="B47" s="7"/>
      <c r="C47" s="7"/>
      <c r="D47" s="7"/>
      <c r="E47" s="7"/>
      <c r="F47" s="7"/>
      <c r="G47" s="7"/>
      <c r="H47" s="7"/>
      <c r="I47" s="7"/>
      <c r="J47" s="7"/>
    </row>
    <row r="48" spans="1:10" ht="30" customHeight="1" x14ac:dyDescent="0.25">
      <c r="A48" s="13"/>
      <c r="B48" s="7"/>
      <c r="C48" s="7"/>
      <c r="D48" s="7"/>
      <c r="E48" s="7"/>
      <c r="F48" s="7"/>
      <c r="G48" s="7"/>
      <c r="H48" s="7"/>
      <c r="I48" s="7"/>
      <c r="J48" s="7"/>
    </row>
    <row r="49" spans="1:10" ht="30" customHeight="1" x14ac:dyDescent="0.25">
      <c r="A49" s="13"/>
      <c r="B49" s="7"/>
      <c r="C49" s="7"/>
      <c r="D49" s="7"/>
      <c r="E49" s="7"/>
      <c r="F49" s="7"/>
      <c r="G49" s="7"/>
      <c r="H49" s="7"/>
      <c r="I49" s="7"/>
      <c r="J49" s="7"/>
    </row>
    <row r="50" spans="1:10" ht="30" customHeight="1" x14ac:dyDescent="0.25">
      <c r="A50" s="13"/>
      <c r="B50" s="7"/>
      <c r="C50" s="7"/>
      <c r="D50" s="7"/>
      <c r="E50" s="7"/>
      <c r="F50" s="7"/>
      <c r="G50" s="7"/>
      <c r="H50" s="7"/>
      <c r="I50" s="7"/>
      <c r="J50" s="7"/>
    </row>
    <row r="51" spans="1:10" ht="30" customHeight="1" x14ac:dyDescent="0.25">
      <c r="A51" s="13"/>
      <c r="B51" s="7"/>
      <c r="C51" s="7"/>
      <c r="D51" s="7"/>
      <c r="E51" s="7"/>
      <c r="F51" s="7"/>
      <c r="G51" s="7"/>
      <c r="H51" s="7"/>
      <c r="I51" s="7"/>
      <c r="J51" s="7"/>
    </row>
    <row r="52" spans="1:10" ht="30" customHeight="1" x14ac:dyDescent="0.25">
      <c r="A52" s="13"/>
      <c r="B52" s="7"/>
      <c r="C52" s="7"/>
      <c r="D52" s="7"/>
      <c r="E52" s="7"/>
      <c r="F52" s="7"/>
      <c r="G52" s="7"/>
      <c r="H52" s="7"/>
      <c r="I52" s="7"/>
      <c r="J52" s="7"/>
    </row>
    <row r="53" spans="1:10" ht="30" customHeight="1" x14ac:dyDescent="0.25">
      <c r="A53" s="13"/>
      <c r="B53" s="7"/>
      <c r="C53" s="7"/>
      <c r="D53" s="7"/>
      <c r="E53" s="7"/>
      <c r="F53" s="7"/>
      <c r="G53" s="7"/>
      <c r="H53" s="7"/>
      <c r="I53" s="7"/>
      <c r="J53" s="7"/>
    </row>
    <row r="54" spans="1:10" ht="30" customHeight="1" x14ac:dyDescent="0.25">
      <c r="A54" s="13"/>
      <c r="B54" s="7"/>
      <c r="C54" s="7"/>
      <c r="D54" s="7"/>
      <c r="E54" s="7"/>
      <c r="F54" s="7"/>
      <c r="G54" s="7"/>
      <c r="H54" s="7"/>
      <c r="I54" s="7"/>
      <c r="J54" s="7"/>
    </row>
    <row r="55" spans="1:10" ht="30" customHeight="1" x14ac:dyDescent="0.25">
      <c r="A55" s="13"/>
      <c r="B55" s="7"/>
      <c r="C55" s="7"/>
      <c r="D55" s="7"/>
      <c r="E55" s="7"/>
      <c r="F55" s="7"/>
      <c r="G55" s="7"/>
      <c r="H55" s="7"/>
      <c r="I55" s="7"/>
      <c r="J55" s="7"/>
    </row>
    <row r="56" spans="1:10" ht="30" customHeight="1" x14ac:dyDescent="0.25">
      <c r="A56" s="13"/>
      <c r="B56" s="7"/>
      <c r="C56" s="7"/>
      <c r="D56" s="7"/>
      <c r="E56" s="7"/>
      <c r="F56" s="7"/>
      <c r="G56" s="7"/>
      <c r="H56" s="7"/>
      <c r="I56" s="7"/>
      <c r="J56" s="7"/>
    </row>
    <row r="57" spans="1:10" ht="30" customHeight="1" x14ac:dyDescent="0.25">
      <c r="A57" s="13"/>
      <c r="B57" s="7"/>
      <c r="C57" s="7"/>
      <c r="D57" s="7"/>
      <c r="E57" s="7"/>
      <c r="F57" s="7"/>
      <c r="G57" s="7"/>
      <c r="H57" s="7"/>
      <c r="I57" s="7"/>
      <c r="J57" s="7"/>
    </row>
    <row r="58" spans="1:10" ht="30" customHeight="1" x14ac:dyDescent="0.25">
      <c r="A58" s="13"/>
      <c r="B58" s="7"/>
      <c r="C58" s="7"/>
      <c r="D58" s="7"/>
      <c r="E58" s="7"/>
      <c r="F58" s="7"/>
      <c r="G58" s="7"/>
      <c r="H58" s="7"/>
      <c r="I58" s="7"/>
      <c r="J58" s="7"/>
    </row>
    <row r="59" spans="1:10" ht="30" customHeight="1" x14ac:dyDescent="0.25">
      <c r="A59" s="13"/>
      <c r="B59" s="7"/>
      <c r="C59" s="7"/>
      <c r="D59" s="7"/>
      <c r="E59" s="7"/>
      <c r="F59" s="7"/>
      <c r="G59" s="7"/>
      <c r="H59" s="7"/>
      <c r="I59" s="7"/>
      <c r="J59" s="7"/>
    </row>
    <row r="60" spans="1:10" ht="30" customHeight="1" x14ac:dyDescent="0.25">
      <c r="A60" s="13"/>
      <c r="B60" s="7"/>
      <c r="C60" s="7"/>
      <c r="D60" s="7"/>
      <c r="E60" s="7"/>
      <c r="F60" s="7"/>
      <c r="G60" s="7"/>
      <c r="H60" s="7"/>
      <c r="I60" s="7"/>
      <c r="J60" s="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7AEC-CC9B-493C-9916-7042E40291BA}">
  <dimension ref="A1:K12"/>
  <sheetViews>
    <sheetView topLeftCell="D1" workbookViewId="0">
      <selection activeCell="K1" sqref="K1:K2"/>
    </sheetView>
  </sheetViews>
  <sheetFormatPr defaultRowHeight="15" x14ac:dyDescent="0.25"/>
  <cols>
    <col min="1" max="1" width="5.7109375" style="16" bestFit="1" customWidth="1"/>
    <col min="2" max="2" width="28.140625" style="2" bestFit="1" customWidth="1"/>
    <col min="3" max="3" width="26.140625" style="2" bestFit="1" customWidth="1"/>
    <col min="4" max="4" width="27.7109375" style="2" bestFit="1" customWidth="1"/>
    <col min="5" max="5" width="30.140625" style="2" bestFit="1" customWidth="1"/>
    <col min="6" max="6" width="28" style="2" bestFit="1" customWidth="1"/>
    <col min="7" max="7" width="29.5703125" style="2" bestFit="1" customWidth="1"/>
    <col min="8" max="8" width="9.140625" style="2" bestFit="1" customWidth="1"/>
    <col min="9" max="9" width="59.7109375" style="2" customWidth="1"/>
    <col min="10" max="10" width="78" style="2" customWidth="1"/>
    <col min="11" max="16384" width="9.140625" style="2"/>
  </cols>
  <sheetData>
    <row r="1" spans="1:11" ht="30" customHeight="1" x14ac:dyDescent="0.25">
      <c r="A1" s="14" t="s">
        <v>3</v>
      </c>
      <c r="B1" s="3" t="s">
        <v>52</v>
      </c>
      <c r="C1" s="3" t="s">
        <v>53</v>
      </c>
      <c r="D1" s="3" t="s">
        <v>56</v>
      </c>
      <c r="E1" s="3" t="s">
        <v>54</v>
      </c>
      <c r="F1" s="3" t="s">
        <v>55</v>
      </c>
      <c r="G1" s="3" t="s">
        <v>57</v>
      </c>
      <c r="H1" s="3" t="s">
        <v>0</v>
      </c>
      <c r="I1" s="3" t="s">
        <v>1</v>
      </c>
      <c r="J1" s="4" t="s">
        <v>2</v>
      </c>
      <c r="K1" s="2" t="s">
        <v>67</v>
      </c>
    </row>
    <row r="2" spans="1:11" ht="30" customHeight="1" x14ac:dyDescent="0.25">
      <c r="A2" s="15" t="s">
        <v>46</v>
      </c>
      <c r="B2" s="8">
        <v>0.33333333333333331</v>
      </c>
      <c r="C2" s="8">
        <v>0.54166666666666663</v>
      </c>
      <c r="D2" s="8">
        <f>+C2-B2</f>
        <v>0.20833333333333331</v>
      </c>
      <c r="E2" s="8">
        <v>0.54166666666666663</v>
      </c>
      <c r="F2" s="8">
        <v>0.70833333333333337</v>
      </c>
      <c r="G2" s="8">
        <f>(+F2-E2)-K2</f>
        <v>0.12500000000000008</v>
      </c>
      <c r="H2" s="8">
        <f t="shared" ref="H2:H11" si="0">(D2+G2)</f>
        <v>0.33333333333333337</v>
      </c>
      <c r="I2" s="1" t="s">
        <v>4</v>
      </c>
      <c r="J2" s="9" t="s">
        <v>50</v>
      </c>
      <c r="K2" s="8">
        <v>4.1666666666666664E-2</v>
      </c>
    </row>
    <row r="3" spans="1:11" ht="30" customHeight="1" x14ac:dyDescent="0.25">
      <c r="A3" s="15" t="s">
        <v>47</v>
      </c>
      <c r="B3" s="8">
        <v>0.33333333333333331</v>
      </c>
      <c r="C3" s="8">
        <v>0.54166666666666663</v>
      </c>
      <c r="D3" s="8">
        <f>(+C3-B3)</f>
        <v>0.20833333333333331</v>
      </c>
      <c r="E3" s="8">
        <v>0.54166666666666663</v>
      </c>
      <c r="F3" s="8">
        <v>0.70833333333333337</v>
      </c>
      <c r="G3" s="8">
        <f>(+F3-E3)-K2</f>
        <v>0.12500000000000008</v>
      </c>
      <c r="H3" s="8">
        <f t="shared" si="0"/>
        <v>0.33333333333333337</v>
      </c>
      <c r="I3" s="1" t="s">
        <v>4</v>
      </c>
      <c r="J3" s="9" t="s">
        <v>50</v>
      </c>
    </row>
    <row r="4" spans="1:11" ht="30" customHeight="1" x14ac:dyDescent="0.25">
      <c r="A4" s="15" t="s">
        <v>48</v>
      </c>
      <c r="B4" s="8">
        <v>0.33333333333333331</v>
      </c>
      <c r="C4" s="8">
        <v>0.54166666666666663</v>
      </c>
      <c r="D4" s="8">
        <f>(+C4-B4)</f>
        <v>0.20833333333333331</v>
      </c>
      <c r="E4" s="8">
        <v>0.54166666666666663</v>
      </c>
      <c r="F4" s="8">
        <v>0.70833333333333337</v>
      </c>
      <c r="G4" s="8">
        <f>(+F4-E4)-K2</f>
        <v>0.12500000000000008</v>
      </c>
      <c r="H4" s="8">
        <f t="shared" si="0"/>
        <v>0.33333333333333337</v>
      </c>
      <c r="I4" s="1" t="s">
        <v>4</v>
      </c>
      <c r="J4" s="9" t="s">
        <v>51</v>
      </c>
    </row>
    <row r="5" spans="1:11" ht="30" customHeight="1" x14ac:dyDescent="0.25">
      <c r="A5" s="15" t="s">
        <v>9</v>
      </c>
      <c r="B5" s="8">
        <v>0.33333333333333331</v>
      </c>
      <c r="C5" s="8">
        <v>0.54166666666666663</v>
      </c>
      <c r="D5" s="8">
        <f>(+C5-B5)</f>
        <v>0.20833333333333331</v>
      </c>
      <c r="E5" s="8">
        <v>0.54166666666666663</v>
      </c>
      <c r="F5" s="8">
        <v>0.70833333333333337</v>
      </c>
      <c r="G5" s="8">
        <f>(+F5-E5)-K2</f>
        <v>0.12500000000000008</v>
      </c>
      <c r="H5" s="8">
        <f t="shared" si="0"/>
        <v>0.33333333333333337</v>
      </c>
      <c r="I5" s="1" t="s">
        <v>4</v>
      </c>
      <c r="J5" s="9"/>
    </row>
    <row r="6" spans="1:11" ht="30" customHeight="1" x14ac:dyDescent="0.25">
      <c r="A6" s="17" t="s">
        <v>58</v>
      </c>
      <c r="B6" s="8">
        <v>0.33333333333333331</v>
      </c>
      <c r="C6" s="8">
        <v>0.70833333333333337</v>
      </c>
      <c r="D6" s="8">
        <f>(+C6-B6)-K2</f>
        <v>0.33333333333333337</v>
      </c>
      <c r="E6" s="10"/>
      <c r="F6" s="10"/>
      <c r="G6" s="10"/>
      <c r="H6" s="8">
        <f t="shared" si="0"/>
        <v>0.33333333333333337</v>
      </c>
      <c r="I6" s="1" t="s">
        <v>4</v>
      </c>
      <c r="J6" s="9"/>
    </row>
    <row r="7" spans="1:11" ht="30" customHeight="1" x14ac:dyDescent="0.25">
      <c r="A7" s="17" t="s">
        <v>59</v>
      </c>
      <c r="B7" s="8">
        <v>0.33333333333333331</v>
      </c>
      <c r="C7" s="8">
        <v>0.54166666666666663</v>
      </c>
      <c r="D7" s="8">
        <f>(+C7-B7)</f>
        <v>0.20833333333333331</v>
      </c>
      <c r="E7" s="8">
        <v>0.54166666666666663</v>
      </c>
      <c r="F7" s="8">
        <v>0.70833333333333337</v>
      </c>
      <c r="G7" s="10">
        <f>(+F7-E7)-K2</f>
        <v>0.12500000000000008</v>
      </c>
      <c r="H7" s="8">
        <f t="shared" si="0"/>
        <v>0.33333333333333337</v>
      </c>
      <c r="I7" s="1" t="s">
        <v>4</v>
      </c>
      <c r="J7" s="9" t="s">
        <v>64</v>
      </c>
    </row>
    <row r="8" spans="1:11" ht="30" customHeight="1" x14ac:dyDescent="0.25">
      <c r="A8" s="17" t="s">
        <v>60</v>
      </c>
      <c r="B8" s="8">
        <v>0.33333333333333331</v>
      </c>
      <c r="C8" s="8">
        <v>0.54166666666666663</v>
      </c>
      <c r="D8" s="8">
        <f>(+C8-B8)</f>
        <v>0.20833333333333331</v>
      </c>
      <c r="E8" s="8">
        <v>0.54166666666666663</v>
      </c>
      <c r="F8" s="8">
        <v>0.70833333333333337</v>
      </c>
      <c r="G8" s="10">
        <f>(+F8-E8)-K2</f>
        <v>0.12500000000000008</v>
      </c>
      <c r="H8" s="8">
        <f t="shared" si="0"/>
        <v>0.33333333333333337</v>
      </c>
      <c r="I8" s="1" t="s">
        <v>4</v>
      </c>
      <c r="J8" s="9" t="s">
        <v>64</v>
      </c>
    </row>
    <row r="9" spans="1:11" ht="30" customHeight="1" x14ac:dyDescent="0.25">
      <c r="A9" s="17" t="s">
        <v>61</v>
      </c>
      <c r="B9" s="8">
        <v>0.33333333333333331</v>
      </c>
      <c r="C9" s="8">
        <v>0.54166666666666663</v>
      </c>
      <c r="D9" s="8">
        <f>(+C9-B9)</f>
        <v>0.20833333333333331</v>
      </c>
      <c r="E9" s="8">
        <v>0.54166666666666663</v>
      </c>
      <c r="F9" s="8">
        <v>0.70833333333333337</v>
      </c>
      <c r="G9" s="10">
        <f>(+F9-E9)-K2</f>
        <v>0.12500000000000008</v>
      </c>
      <c r="H9" s="8">
        <f t="shared" si="0"/>
        <v>0.33333333333333337</v>
      </c>
      <c r="I9" s="1" t="s">
        <v>4</v>
      </c>
      <c r="J9" s="9" t="s">
        <v>65</v>
      </c>
    </row>
    <row r="10" spans="1:11" ht="30" customHeight="1" x14ac:dyDescent="0.25">
      <c r="A10" s="17" t="s">
        <v>62</v>
      </c>
      <c r="B10" s="8">
        <v>0.33333333333333331</v>
      </c>
      <c r="C10" s="8">
        <v>0.70833333333333337</v>
      </c>
      <c r="D10" s="8">
        <f>(+C10-B10)-K2</f>
        <v>0.33333333333333337</v>
      </c>
      <c r="E10" s="10"/>
      <c r="F10" s="10"/>
      <c r="G10" s="10"/>
      <c r="H10" s="8">
        <f t="shared" si="0"/>
        <v>0.33333333333333337</v>
      </c>
      <c r="I10" s="1" t="s">
        <v>4</v>
      </c>
      <c r="J10" s="9"/>
    </row>
    <row r="11" spans="1:11" ht="30" customHeight="1" x14ac:dyDescent="0.25">
      <c r="A11" s="17" t="s">
        <v>63</v>
      </c>
      <c r="B11" s="8">
        <v>0.33333333333333331</v>
      </c>
      <c r="C11" s="8">
        <v>0.70833333333333337</v>
      </c>
      <c r="D11" s="8">
        <f>(+C11-B11)-K2</f>
        <v>0.33333333333333337</v>
      </c>
      <c r="E11" s="10"/>
      <c r="F11" s="10"/>
      <c r="G11" s="10"/>
      <c r="H11" s="8">
        <f t="shared" si="0"/>
        <v>0.33333333333333337</v>
      </c>
      <c r="I11" s="1" t="s">
        <v>4</v>
      </c>
      <c r="J11" s="9"/>
    </row>
    <row r="12" spans="1:11" ht="26.25" customHeight="1" x14ac:dyDescent="0.25">
      <c r="A12" s="21" t="s">
        <v>66</v>
      </c>
      <c r="B12" s="7"/>
      <c r="C12" s="11"/>
      <c r="D12" s="18">
        <f>SUM(D2:D11)</f>
        <v>2.458333333333333</v>
      </c>
      <c r="E12" s="20"/>
      <c r="F12" s="20"/>
      <c r="G12" s="18">
        <f>SUM(G2:G10)</f>
        <v>0.87500000000000067</v>
      </c>
      <c r="H12" s="18">
        <f>SUM(H2:H11)</f>
        <v>3.3333333333333344</v>
      </c>
      <c r="I12" s="7"/>
      <c r="J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Outubro</vt:lpstr>
      <vt:lpstr>Novembro</vt:lpstr>
      <vt:lpstr>Dezembro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Willians Leite Cavalcanti</dc:creator>
  <cp:keywords/>
  <dc:description/>
  <cp:lastModifiedBy>Luan Sá</cp:lastModifiedBy>
  <cp:revision/>
  <dcterms:created xsi:type="dcterms:W3CDTF">2025-01-29T13:15:54Z</dcterms:created>
  <dcterms:modified xsi:type="dcterms:W3CDTF">2025-12-15T20:13:56Z</dcterms:modified>
  <cp:category/>
  <cp:contentStatus/>
</cp:coreProperties>
</file>